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3060" tabRatio="500" firstSheet="0" activeTab="3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结果" sheetId="2" state="visible" r:id="rId2"/>
    <sheet xmlns:r="http://schemas.openxmlformats.org/officeDocument/2006/relationships" name="评测标准" sheetId="3" state="visible" r:id="rId3"/>
    <sheet xmlns:r="http://schemas.openxmlformats.org/officeDocument/2006/relationships" name="评测总结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8">
    <font>
      <name val="Calibri"/>
      <charset val="1"/>
      <color theme="1"/>
      <sz val="11"/>
    </font>
    <font>
      <name val="Noto Sans CJK SC"/>
      <charset val="134"/>
      <b val="1"/>
      <color rgb="FF1F4E78"/>
      <sz val="16"/>
    </font>
    <font>
      <name val="Noto Sans CJK SC"/>
      <charset val="134"/>
      <i val="1"/>
      <color rgb="FF808080"/>
      <sz val="10"/>
    </font>
    <font>
      <name val="Noto Sans CJK SC"/>
      <charset val="134"/>
      <b val="1"/>
      <color rgb="FFFFFFFF"/>
      <sz val="11"/>
    </font>
    <font>
      <name val="Noto Sans CJK SC"/>
      <charset val="134"/>
      <sz val="10"/>
    </font>
    <font>
      <name val="Arial"/>
      <charset val="1"/>
      <sz val="10"/>
    </font>
    <font>
      <name val="Noto Sans CJK SC"/>
      <charset val="134"/>
      <b val="1"/>
      <sz val="10"/>
    </font>
    <font>
      <name val="Arial"/>
      <charset val="1"/>
      <b val="1"/>
      <sz val="10"/>
    </font>
    <font>
      <name val="Noto Sans CJK SC"/>
      <charset val="134"/>
      <b val="1"/>
      <color rgb="FFC00000"/>
      <sz val="10"/>
    </font>
    <font>
      <name val="Arial"/>
      <charset val="1"/>
      <b val="1"/>
      <color rgb="FFC00000"/>
      <sz val="10"/>
    </font>
    <font>
      <name val="Noto Sans CJK SC"/>
      <charset val="134"/>
      <sz val="11"/>
    </font>
    <font>
      <name val="Noto Sans CJK SC"/>
      <charset val="134"/>
      <b val="1"/>
      <color rgb="FF1F4E78"/>
      <sz val="12"/>
    </font>
    <font>
      <name val="Noto Sans CJK SC"/>
      <charset val="134"/>
      <b val="1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b val="1"/>
      <color rgb="FF1F4E78"/>
      <sz val="16"/>
    </font>
    <font>
      <name val="Arial"/>
      <charset val="1"/>
      <i val="1"/>
      <color rgb="FF808080"/>
      <sz val="10"/>
    </font>
  </fonts>
  <fills count="3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/>
    <xf numFmtId="44" fontId="13" fillId="0" borderId="0"/>
    <xf numFmtId="9" fontId="13" fillId="0" borderId="0"/>
    <xf numFmtId="41" fontId="13" fillId="0" borderId="0"/>
    <xf numFmtId="42" fontId="13" fillId="0" borderId="0"/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6" borderId="2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" applyAlignment="1">
      <alignment vertical="center"/>
    </xf>
    <xf numFmtId="0" fontId="21" fillId="0" borderId="3" applyAlignment="1">
      <alignment vertical="center"/>
    </xf>
    <xf numFmtId="0" fontId="22" fillId="0" borderId="4" applyAlignment="1">
      <alignment vertical="center"/>
    </xf>
    <xf numFmtId="0" fontId="22" fillId="0" borderId="0" applyAlignment="1">
      <alignment vertical="center"/>
    </xf>
    <xf numFmtId="0" fontId="23" fillId="7" borderId="5" applyAlignment="1">
      <alignment vertical="center"/>
    </xf>
    <xf numFmtId="0" fontId="24" fillId="8" borderId="6" applyAlignment="1">
      <alignment vertical="center"/>
    </xf>
    <xf numFmtId="0" fontId="25" fillId="8" borderId="5" applyAlignment="1">
      <alignment vertical="center"/>
    </xf>
    <xf numFmtId="0" fontId="26" fillId="9" borderId="7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0" fontId="9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5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CE4D6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min="1" max="1"/>
    <col width="45" customWidth="1" min="2" max="2"/>
    <col width="60" customWidth="1" min="3" max="3"/>
  </cols>
  <sheetData>
    <row r="1"/>
    <row r="2" ht="24" customHeight="1">
      <c r="B2" s="1" t="inlineStr">
        <is>
          <t>RAG 智能客服助手 · 评测题库</t>
        </is>
      </c>
    </row>
    <row r="3"/>
    <row r="4" ht="17" customHeight="1">
      <c r="B4" s="23" t="inlineStr">
        <is>
          <t>用途：验证RAG客服助手在三类场景下的表现——能否准确回答、能否拒绝瞎编、能否正确分诊转人工。</t>
        </is>
      </c>
    </row>
    <row r="5" ht="17" customHeight="1">
      <c r="B5" s="23" t="inlineStr">
        <is>
          <t>使用方法：将每条问题输入你的RAG助手，把实际回答填入「测试结果」表对应行的「实际结果」列，</t>
        </is>
      </c>
    </row>
    <row r="6" ht="17" customHeight="1">
      <c r="B6" s="23" t="inlineStr">
        <is>
          <t>并在「是否通过」列填写 通过 / 不通过，最后在「评测总结」表查看自动统计的通过率。</t>
        </is>
      </c>
    </row>
    <row r="7"/>
    <row r="8" ht="17.6" customHeight="1">
      <c r="B8" s="24" t="inlineStr">
        <is>
          <t>三类问题说明：</t>
        </is>
      </c>
    </row>
    <row r="9" ht="17" customHeight="1">
      <c r="B9" s="25" t="inlineStr">
        <is>
          <t>第一类 · 知识库能覆盖</t>
        </is>
      </c>
      <c r="C9" s="23" t="inlineStr">
        <is>
          <t>测试准确率：知识库中有明确答案的问题，AI应准确回答，不遗漏关键信息。</t>
        </is>
      </c>
    </row>
    <row r="10" ht="17" customHeight="1">
      <c r="B10" s="25" t="inlineStr">
        <is>
          <t>第二类 · 知识库覆盖不到</t>
        </is>
      </c>
      <c r="C10" s="23" t="inlineStr">
        <is>
          <t>测试拒答能力（最关键）：AI必须诚实说明无法确认，不能编造答案。建议达标率：100%。</t>
        </is>
      </c>
    </row>
    <row r="11" ht="17" customHeight="1">
      <c r="B11" s="25" t="inlineStr">
        <is>
          <t>第三类 · 应转人工</t>
        </is>
      </c>
      <c r="C11" s="23" t="inlineStr">
        <is>
          <t>测试分诊能力：涉及具体订单、投诉、安全风险、情绪激动等场景，应转人工而非AI直接回答。</t>
        </is>
      </c>
    </row>
    <row r="12"/>
    <row r="13" ht="17.6" customHeight="1">
      <c r="B13" s="24" t="inlineStr">
        <is>
          <t>建议达标线（详见「评测标准」表）：</t>
        </is>
      </c>
    </row>
    <row r="14" ht="17" customHeight="1">
      <c r="B14" s="23" t="inlineStr">
        <is>
          <t>• 检索命中率 ≥ 80%</t>
        </is>
      </c>
    </row>
    <row r="15" ht="17" customHeight="1">
      <c r="B15" s="23" t="inlineStr">
        <is>
          <t>• 知识库覆盖问题·回答准确率 ≥ 90%</t>
        </is>
      </c>
    </row>
    <row r="16" ht="17" customHeight="1">
      <c r="B16" s="23" t="inlineStr">
        <is>
          <t>• 覆盖不到问题·拒答准确率 = 100%（底线指标，不能妥协）</t>
        </is>
      </c>
    </row>
    <row r="17" ht="17" customHeight="1">
      <c r="B17" s="23" t="inlineStr">
        <is>
          <t>• 应转人工问题·分诊准确率 ≥ 90%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6796875" defaultRowHeight="16.8"/>
  <cols>
    <col width="6" customWidth="1" min="1" max="1"/>
    <col width="20" customWidth="1" min="2" max="2"/>
    <col width="34" customWidth="1" min="3" max="4"/>
    <col width="26" customWidth="1" min="5" max="5"/>
    <col width="16" customWidth="1" min="6" max="6"/>
    <col width="20" customWidth="1" min="7" max="7"/>
  </cols>
  <sheetData>
    <row r="1" ht="24" customHeight="1">
      <c r="A1" s="9" t="inlineStr">
        <is>
          <t>序号</t>
        </is>
      </c>
      <c r="B1" s="9" t="inlineStr">
        <is>
          <t>分类</t>
        </is>
      </c>
      <c r="C1" s="9" t="inlineStr">
        <is>
          <t>测试问题</t>
        </is>
      </c>
      <c r="D1" s="9" t="inlineStr">
        <is>
          <t>期望结果</t>
        </is>
      </c>
      <c r="E1" s="9" t="inlineStr">
        <is>
          <t>实际结果（填写）</t>
        </is>
      </c>
      <c r="F1" s="9" t="inlineStr">
        <is>
          <t>是否通过（填写）</t>
        </is>
      </c>
      <c r="G1" s="9" t="inlineStr">
        <is>
          <t>备注</t>
        </is>
      </c>
    </row>
    <row r="2" ht="31.5" customHeight="1">
      <c r="A2" s="15" t="n">
        <v>1</v>
      </c>
      <c r="B2" s="16" t="inlineStr">
        <is>
          <t>第一类·知识库能覆盖</t>
        </is>
      </c>
      <c r="C2" s="17" t="inlineStr">
        <is>
          <t>X1 Carbon和A1有什么区别？</t>
        </is>
      </c>
      <c r="D2" s="16" t="inlineStr">
        <is>
          <t>基于知识库准确对比，不遗漏关键参数</t>
        </is>
      </c>
      <c r="E2" s="17" t="n"/>
      <c r="F2" s="17" t="n"/>
      <c r="G2" s="17" t="n"/>
    </row>
    <row r="3" ht="31.5" customHeight="1">
      <c r="A3" s="15" t="n">
        <v>2</v>
      </c>
      <c r="B3" s="16" t="inlineStr">
        <is>
          <t>第一类·知识库能覆盖</t>
        </is>
      </c>
      <c r="C3" s="17" t="inlineStr">
        <is>
          <t>A1支持多色打印吗？</t>
        </is>
      </c>
      <c r="D3" s="16" t="inlineStr">
        <is>
          <t>准确回答（需配合AMS Lite）</t>
        </is>
      </c>
      <c r="E3" s="17" t="n"/>
      <c r="F3" s="17" t="n"/>
      <c r="G3" s="17" t="n"/>
    </row>
    <row r="4" ht="31.5" customHeight="1">
      <c r="A4" s="15" t="n">
        <v>3</v>
      </c>
      <c r="B4" s="16" t="inlineStr">
        <is>
          <t>第一类·知识库能覆盖</t>
        </is>
      </c>
      <c r="C4" s="17" t="inlineStr">
        <is>
          <t>H2D除了打印还能干什么？</t>
        </is>
      </c>
      <c r="D4" s="16" t="inlineStr">
        <is>
          <t>提到激光切割、绘图笔、裁切功能</t>
        </is>
      </c>
      <c r="E4" s="17" t="n"/>
      <c r="F4" s="17" t="n"/>
      <c r="G4" s="17" t="n"/>
    </row>
    <row r="5" ht="31.5" customHeight="1">
      <c r="A5" s="15" t="n">
        <v>4</v>
      </c>
      <c r="B5" s="16" t="inlineStr">
        <is>
          <t>第一类·知识库能覆盖</t>
        </is>
      </c>
      <c r="C5" s="16" t="inlineStr">
        <is>
          <t>打印机保修期多久？</t>
        </is>
      </c>
      <c r="D5" s="16" t="inlineStr">
        <is>
          <t>准确给出保修政策</t>
        </is>
      </c>
      <c r="E5" s="17" t="n"/>
      <c r="F5" s="17" t="n"/>
      <c r="G5" s="17" t="n"/>
    </row>
    <row r="6" ht="31.5" customHeight="1">
      <c r="A6" s="15" t="n">
        <v>5</v>
      </c>
      <c r="B6" s="16" t="inlineStr">
        <is>
          <t>第一类·知识库能覆盖</t>
        </is>
      </c>
      <c r="C6" s="16" t="inlineStr">
        <is>
          <t>喷头堵了怎么处理？</t>
        </is>
      </c>
      <c r="D6" s="16" t="inlineStr">
        <is>
          <t>给出具体排查步骤，不笼统</t>
        </is>
      </c>
      <c r="E6" s="17" t="n"/>
      <c r="F6" s="17" t="n"/>
      <c r="G6" s="17" t="n"/>
    </row>
    <row r="7" ht="31.5" customHeight="1">
      <c r="A7" s="15" t="n">
        <v>6</v>
      </c>
      <c r="B7" s="16" t="inlineStr">
        <is>
          <t>第一类·知识库能覆盖</t>
        </is>
      </c>
      <c r="C7" s="17" t="inlineStr">
        <is>
          <t>AMS卡料了怎么办？</t>
        </is>
      </c>
      <c r="D7" s="16" t="inlineStr">
        <is>
          <t>给出具体操作步骤</t>
        </is>
      </c>
      <c r="E7" s="17" t="n"/>
      <c r="F7" s="17" t="n"/>
      <c r="G7" s="17" t="n"/>
    </row>
    <row r="8" ht="31.5" customHeight="1">
      <c r="A8" s="15" t="n">
        <v>7</v>
      </c>
      <c r="B8" s="16" t="inlineStr">
        <is>
          <t>第一类·知识库能覆盖</t>
        </is>
      </c>
      <c r="C8" s="16" t="inlineStr">
        <is>
          <t>切片软件在哪下载？</t>
        </is>
      </c>
      <c r="D8" s="16" t="inlineStr">
        <is>
          <t>准确指引下载渠道</t>
        </is>
      </c>
      <c r="E8" s="17" t="n"/>
      <c r="F8" s="17" t="n"/>
      <c r="G8" s="17" t="n"/>
    </row>
    <row r="9" ht="31.5" customHeight="1">
      <c r="A9" s="15" t="n">
        <v>8</v>
      </c>
      <c r="B9" s="16" t="inlineStr">
        <is>
          <t>第一类·知识库能覆盖</t>
        </is>
      </c>
      <c r="C9" s="16" t="inlineStr">
        <is>
          <t>云打印怎么设置？</t>
        </is>
      </c>
      <c r="D9" s="16" t="inlineStr">
        <is>
          <t>给出操作步骤</t>
        </is>
      </c>
      <c r="E9" s="17" t="n"/>
      <c r="F9" s="17" t="n"/>
      <c r="G9" s="17" t="n"/>
    </row>
    <row r="10" ht="31.5" customHeight="1">
      <c r="A10" s="18" t="n">
        <v>9</v>
      </c>
      <c r="B10" s="19" t="inlineStr">
        <is>
          <t>第二类·知识库覆盖不到</t>
        </is>
      </c>
      <c r="C10" s="19" t="inlineStr">
        <is>
          <t>贵公司的股票代码是多少？</t>
        </is>
      </c>
      <c r="D10" s="19" t="inlineStr">
        <is>
          <t>明确拒答，不编造</t>
        </is>
      </c>
      <c r="E10" s="19" t="n"/>
      <c r="F10" s="19" t="n"/>
      <c r="G10" s="19" t="n"/>
    </row>
    <row r="11" ht="31.5" customHeight="1">
      <c r="A11" s="18" t="n">
        <v>10</v>
      </c>
      <c r="B11" s="19" t="inlineStr">
        <is>
          <t>第二类·知识库覆盖不到</t>
        </is>
      </c>
      <c r="C11" s="19" t="inlineStr">
        <is>
          <t>公司CEO叫什么名字？</t>
        </is>
      </c>
      <c r="D11" s="19" t="inlineStr">
        <is>
          <t>明确拒答（除非知识库明确写了）</t>
        </is>
      </c>
      <c r="E11" s="19" t="n"/>
      <c r="F11" s="19" t="n"/>
      <c r="G11" s="19" t="n"/>
    </row>
    <row r="12" ht="31.5" customHeight="1">
      <c r="A12" s="18" t="n">
        <v>11</v>
      </c>
      <c r="B12" s="19" t="inlineStr">
        <is>
          <t>第二类·知识库覆盖不到</t>
        </is>
      </c>
      <c r="C12" s="20" t="inlineStr">
        <is>
          <t>X1系列下一代什么时候发布？</t>
        </is>
      </c>
      <c r="D12" s="19" t="inlineStr">
        <is>
          <t>拒答，不预测未来产品</t>
        </is>
      </c>
      <c r="E12" s="20" t="n"/>
      <c r="F12" s="20" t="n"/>
      <c r="G12" s="20" t="n"/>
    </row>
    <row r="13" ht="31.5" customHeight="1">
      <c r="A13" s="18" t="n">
        <v>12</v>
      </c>
      <c r="B13" s="19" t="inlineStr">
        <is>
          <t>第二类·知识库覆盖不到</t>
        </is>
      </c>
      <c r="C13" s="19" t="inlineStr">
        <is>
          <t>打印机能不能打印金属材料？</t>
        </is>
      </c>
      <c r="D13" s="19" t="inlineStr">
        <is>
          <t>知识库没提到则拒答，不瞎猜</t>
        </is>
      </c>
      <c r="E13" s="20" t="n"/>
      <c r="F13" s="20" t="n"/>
      <c r="G13" s="20" t="n"/>
    </row>
    <row r="14" ht="31.5" customHeight="1">
      <c r="A14" s="18" t="n">
        <v>13</v>
      </c>
      <c r="B14" s="19" t="inlineStr">
        <is>
          <t>第二类·知识库覆盖不到</t>
        </is>
      </c>
      <c r="C14" s="19" t="inlineStr">
        <is>
          <t>这个打印机和某竞品比怎么样？</t>
        </is>
      </c>
      <c r="D14" s="19" t="inlineStr">
        <is>
          <t>拒答或说明无法评价竞品</t>
        </is>
      </c>
      <c r="E14" s="20" t="n"/>
      <c r="F14" s="20" t="n"/>
      <c r="G14" s="20" t="n"/>
    </row>
    <row r="15" ht="31.5" customHeight="1">
      <c r="A15" s="18" t="n">
        <v>14</v>
      </c>
      <c r="B15" s="19" t="inlineStr">
        <is>
          <t>第二类·知识库覆盖不到</t>
        </is>
      </c>
      <c r="C15" s="19" t="inlineStr">
        <is>
          <t>你们公司在国外有多少员工？</t>
        </is>
      </c>
      <c r="D15" s="19" t="inlineStr">
        <is>
          <t>拒答</t>
        </is>
      </c>
      <c r="E15" s="20" t="n"/>
      <c r="F15" s="20" t="n"/>
      <c r="G15" s="20" t="n"/>
    </row>
    <row r="16" ht="31.5" customHeight="1">
      <c r="A16" s="18" t="n">
        <v>15</v>
      </c>
      <c r="B16" s="19" t="inlineStr">
        <is>
          <t>第二类·知识库覆盖不到</t>
        </is>
      </c>
      <c r="C16" s="19" t="inlineStr">
        <is>
          <t>打印机噪音突然变大是不是要爆炸了？</t>
        </is>
      </c>
      <c r="D16" s="19" t="inlineStr">
        <is>
          <t>不下安全结论，建议联系人工/安全排查</t>
        </is>
      </c>
      <c r="E16" s="20" t="n"/>
      <c r="F16" s="20" t="n"/>
      <c r="G16" s="20" t="n"/>
    </row>
    <row r="17" ht="31.5" customHeight="1">
      <c r="A17" s="18" t="n">
        <v>16</v>
      </c>
      <c r="B17" s="19" t="inlineStr">
        <is>
          <t>第二类·知识库覆盖不到</t>
        </is>
      </c>
      <c r="C17" s="19" t="inlineStr">
        <is>
          <t>我可以自己拆机修理主板吗？</t>
        </is>
      </c>
      <c r="D17" s="19" t="inlineStr">
        <is>
          <t>涉及安全和保修条款，应拒答或建议咨询官方</t>
        </is>
      </c>
      <c r="E17" s="20" t="n"/>
      <c r="F17" s="20" t="n"/>
      <c r="G17" s="20" t="n"/>
    </row>
    <row r="18" ht="31.5" customHeight="1">
      <c r="A18" s="21" t="n">
        <v>17</v>
      </c>
      <c r="B18" s="22" t="inlineStr">
        <is>
          <t>第三类·应转人工</t>
        </is>
      </c>
      <c r="C18" s="22" t="inlineStr">
        <is>
          <t>我要申请退款，订单号12345</t>
        </is>
      </c>
      <c r="D18" s="22" t="inlineStr">
        <is>
          <t>转人工（涉及具体订单核实）</t>
        </is>
      </c>
      <c r="E18" s="22" t="n"/>
      <c r="F18" s="22" t="n"/>
      <c r="G18" s="22" t="n"/>
    </row>
    <row r="19" ht="31.5" customHeight="1">
      <c r="A19" s="21" t="n">
        <v>18</v>
      </c>
      <c r="B19" s="22" t="inlineStr">
        <is>
          <t>第三类·应转人工</t>
        </is>
      </c>
      <c r="C19" s="22" t="inlineStr">
        <is>
          <t>我买的机器是坏的，要投诉</t>
        </is>
      </c>
      <c r="D19" s="22" t="inlineStr">
        <is>
          <t>转人工（投诉类）</t>
        </is>
      </c>
      <c r="E19" s="22" t="n"/>
      <c r="F19" s="22" t="n"/>
      <c r="G19" s="22" t="n"/>
    </row>
    <row r="20" ht="31.5" customHeight="1">
      <c r="A20" s="21" t="n">
        <v>19</v>
      </c>
      <c r="B20" s="22" t="inlineStr">
        <is>
          <t>第三类·应转人工</t>
        </is>
      </c>
      <c r="C20" s="22" t="inlineStr">
        <is>
          <t>我的包裹显示已签收但没收到货</t>
        </is>
      </c>
      <c r="D20" s="22" t="inlineStr">
        <is>
          <t>转人工（物流纠纷）</t>
        </is>
      </c>
      <c r="E20" s="22" t="n"/>
      <c r="F20" s="22" t="n"/>
      <c r="G20" s="22" t="n"/>
    </row>
    <row r="21" ht="31.5" customHeight="1">
      <c r="A21" s="21" t="n">
        <v>20</v>
      </c>
      <c r="B21" s="22" t="inlineStr">
        <is>
          <t>第三类·应转人工</t>
        </is>
      </c>
      <c r="C21" s="22" t="inlineStr">
        <is>
          <t>能不能给我优惠券/折扣？</t>
        </is>
      </c>
      <c r="D21" s="22" t="inlineStr">
        <is>
          <t>转人工（涉及销售政策灵活处理）</t>
        </is>
      </c>
      <c r="E21" s="22" t="n"/>
      <c r="F21" s="22" t="n"/>
      <c r="G21" s="22" t="n"/>
    </row>
    <row r="22" ht="31.5" customHeight="1">
      <c r="A22" s="21" t="n">
        <v>21</v>
      </c>
      <c r="B22" s="22" t="inlineStr">
        <is>
          <t>第三类·应转人工</t>
        </is>
      </c>
      <c r="C22" s="22" t="inlineStr">
        <is>
          <t>打印机用了一周就冒烟了，很生气！</t>
        </is>
      </c>
      <c r="D22" s="22" t="inlineStr">
        <is>
          <t>转人工（安全问题+情绪激动）</t>
        </is>
      </c>
      <c r="E22" s="22" t="n"/>
      <c r="F22" s="22" t="n"/>
      <c r="G22" s="22" t="n"/>
    </row>
    <row r="23" ht="31.5" customHeight="1">
      <c r="A23" s="21" t="n">
        <v>22</v>
      </c>
      <c r="B23" s="22" t="inlineStr">
        <is>
          <t>第三类·应转人工</t>
        </is>
      </c>
      <c r="C23" s="22" t="inlineStr">
        <is>
          <t>我要取消订单</t>
        </is>
      </c>
      <c r="D23" s="22" t="inlineStr">
        <is>
          <t>转人工（涉及具体订单操作）</t>
        </is>
      </c>
      <c r="E23" s="22" t="n"/>
      <c r="F23" s="22" t="n"/>
      <c r="G23" s="22" t="n"/>
    </row>
    <row r="24" ht="31.5" customHeight="1">
      <c r="A24" s="21" t="n">
        <v>23</v>
      </c>
      <c r="B24" s="22" t="inlineStr">
        <is>
          <t>第三类·应转人工</t>
        </is>
      </c>
      <c r="C24" s="22" t="inlineStr">
        <is>
          <t>保修期内维修要收费吗？我这个具体情况算不算保修范围</t>
        </is>
      </c>
      <c r="D24" s="22" t="inlineStr">
        <is>
          <t>转人工（涉及个案判断）</t>
        </is>
      </c>
      <c r="E24" s="22" t="n"/>
      <c r="F24" s="22" t="n"/>
      <c r="G24" s="22" t="n"/>
    </row>
    <row r="25" ht="31.5" customHeight="1">
      <c r="A25" s="21" t="n">
        <v>24</v>
      </c>
      <c r="B25" s="22" t="inlineStr">
        <is>
          <t>第三类·应转人工</t>
        </is>
      </c>
      <c r="C25" s="22" t="inlineStr">
        <is>
          <t>这个客服机器人是不是听不懂人话，给我转人工！</t>
        </is>
      </c>
      <c r="D25" s="22" t="inlineStr">
        <is>
          <t>转人工（用户明确要求）</t>
        </is>
      </c>
      <c r="E25" s="22" t="n"/>
      <c r="F25" s="22" t="n"/>
      <c r="G25" s="2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min="1" max="1"/>
    <col width="12" customWidth="1" min="2" max="2"/>
    <col width="22" customWidth="1" min="3" max="3"/>
    <col width="34" customWidth="1" min="4" max="5"/>
    <col width="16" customWidth="1" min="6" max="6"/>
  </cols>
  <sheetData>
    <row r="1"/>
    <row r="2" ht="23.2" customHeight="1">
      <c r="B2" s="1" t="inlineStr">
        <is>
          <t>评测标准与达标线</t>
        </is>
      </c>
    </row>
    <row r="3"/>
    <row r="4" ht="21.75" customHeight="1">
      <c r="B4" s="9" t="inlineStr">
        <is>
          <t>评测层级</t>
        </is>
      </c>
      <c r="C4" s="9" t="inlineStr">
        <is>
          <t>指标</t>
        </is>
      </c>
      <c r="D4" s="9" t="inlineStr">
        <is>
          <t>含义</t>
        </is>
      </c>
      <c r="E4" s="9" t="inlineStr">
        <is>
          <t>测法</t>
        </is>
      </c>
      <c r="F4" s="9" t="inlineStr">
        <is>
          <t>建议达标线</t>
        </is>
      </c>
    </row>
    <row r="5" ht="39.75" customHeight="1">
      <c r="B5" s="10" t="inlineStr">
        <is>
          <t>检索层</t>
        </is>
      </c>
      <c r="C5" s="10" t="inlineStr">
        <is>
          <t>命中率 Hit Rate</t>
        </is>
      </c>
      <c r="D5" s="10" t="inlineStr">
        <is>
          <t>检索出的内容是否包含正确答案所在文档</t>
        </is>
      </c>
      <c r="E5" s="10" t="inlineStr">
        <is>
          <t>准备20-30个测试问题，人工标注应命中的知识条目，统计实际命中比例</t>
        </is>
      </c>
      <c r="F5" s="11" t="inlineStr">
        <is>
          <t>≥ 80%</t>
        </is>
      </c>
    </row>
    <row r="6" ht="39.75" customHeight="1">
      <c r="B6" s="10" t="inlineStr">
        <is>
          <t>检索层</t>
        </is>
      </c>
      <c r="C6" s="12" t="inlineStr">
        <is>
          <t>Top-K相关性</t>
        </is>
      </c>
      <c r="D6" s="10" t="inlineStr">
        <is>
          <t>返回的前3条结果中真正相关的占比</t>
        </is>
      </c>
      <c r="E6" s="10" t="inlineStr">
        <is>
          <t>人工对检索结果逐条打分（相关/不相关）</t>
        </is>
      </c>
      <c r="F6" s="13" t="inlineStr">
        <is>
          <t>前3条至少1条相关</t>
        </is>
      </c>
    </row>
    <row r="7" ht="39.75" customHeight="1">
      <c r="B7" s="10" t="inlineStr">
        <is>
          <t>生成层</t>
        </is>
      </c>
      <c r="C7" s="10" t="inlineStr">
        <is>
          <t>回答准确率</t>
        </is>
      </c>
      <c r="D7" s="10" t="inlineStr">
        <is>
          <t>回答内容是否与知识库一致，无编造信息</t>
        </is>
      </c>
      <c r="E7" s="10" t="inlineStr">
        <is>
          <t>人工逐条核对回答内容 vs 知识库原文</t>
        </is>
      </c>
      <c r="F7" s="11" t="inlineStr">
        <is>
          <t>≥ 90%无幻觉</t>
        </is>
      </c>
    </row>
    <row r="8" ht="39.75" customHeight="1">
      <c r="B8" s="10" t="inlineStr">
        <is>
          <t>生成层</t>
        </is>
      </c>
      <c r="C8" s="10" t="inlineStr">
        <is>
          <t>拒答准确率（底线指标）</t>
        </is>
      </c>
      <c r="D8" s="10" t="inlineStr">
        <is>
          <t>知识库没有的内容，模型是否老实说不知道而非编答案</t>
        </is>
      </c>
      <c r="E8" s="10" t="inlineStr">
        <is>
          <t>用第二类测试问题验证，逐条检查是否拒答</t>
        </is>
      </c>
      <c r="F8" s="14">
        <f>100%</f>
        <v/>
      </c>
    </row>
    <row r="9" ht="39.75" customHeight="1">
      <c r="B9" s="10" t="inlineStr">
        <is>
          <t>分诊层</t>
        </is>
      </c>
      <c r="C9" s="10" t="inlineStr">
        <is>
          <t>转人工准确率</t>
        </is>
      </c>
      <c r="D9" s="10" t="inlineStr">
        <is>
          <t>该转人工的问题是否被正确识别并转接</t>
        </is>
      </c>
      <c r="E9" s="10" t="inlineStr">
        <is>
          <t>用第三类测试问题验证，逐条检查分诊结果</t>
        </is>
      </c>
      <c r="F9" s="11" t="inlineStr">
        <is>
          <t>≥ 90%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tabSelected="1" workbookViewId="0">
      <selection activeCell="A1" sqref="A1"/>
    </sheetView>
  </sheetViews>
  <sheetFormatPr baseColWidth="8" defaultColWidth="8.6796875" defaultRowHeight="16.8"/>
  <cols>
    <col width="3" customWidth="1" min="1" max="1"/>
    <col width="26" customWidth="1" min="2" max="2"/>
    <col width="10" customWidth="1" min="3" max="5"/>
  </cols>
  <sheetData>
    <row r="1"/>
    <row r="2" ht="23.2" customHeight="1">
      <c r="B2" s="1" t="inlineStr">
        <is>
          <t>评测结果自动统计</t>
        </is>
      </c>
    </row>
    <row r="3">
      <c r="B3" s="2" t="inlineStr">
        <is>
          <t>（请先在「测试结果」表的「是否通过」列填写 通过 / 不通过，本表会自动统计）</t>
        </is>
      </c>
    </row>
    <row r="4"/>
    <row r="5">
      <c r="B5" s="3" t="inlineStr">
        <is>
          <t>统计维度</t>
        </is>
      </c>
      <c r="C5" s="3" t="inlineStr">
        <is>
          <t>总数</t>
        </is>
      </c>
      <c r="D5" s="3" t="inlineStr">
        <is>
          <t>通过数</t>
        </is>
      </c>
      <c r="E5" s="3" t="inlineStr">
        <is>
          <t>通过率</t>
        </is>
      </c>
    </row>
    <row r="6">
      <c r="B6" s="4" t="inlineStr">
        <is>
          <t>第一类·知识库能覆盖</t>
        </is>
      </c>
      <c r="C6" s="4">
        <f>COUNTIF(测试结果!B2:B25,"第一类·知识库能覆盖")</f>
        <v/>
      </c>
      <c r="D6" s="4">
        <f>COUNTIFS(测试结果!B2:B25,"第一类·知识库能覆盖",测试结果!F2:F25,"通过")</f>
        <v/>
      </c>
      <c r="E6" s="26">
        <f>IFERROR(D6/C6,"-")</f>
        <v/>
      </c>
    </row>
    <row r="7">
      <c r="B7" s="4" t="inlineStr">
        <is>
          <t>第二类·知识库覆盖不到</t>
        </is>
      </c>
      <c r="C7" s="4">
        <f>COUNTIF(测试结果!B2:B25,"第二类·知识库覆盖不到")</f>
        <v/>
      </c>
      <c r="D7" s="4">
        <f>COUNTIFS(测试结果!B2:B25,"第二类·知识库覆盖不到",测试结果!F2:F25,"通过")</f>
        <v/>
      </c>
      <c r="E7" s="26">
        <f>IFERROR(D7/C7,"-")</f>
        <v/>
      </c>
    </row>
    <row r="8">
      <c r="B8" s="4" t="inlineStr">
        <is>
          <t>第三类·应转人工</t>
        </is>
      </c>
      <c r="C8" s="4">
        <f>COUNTIF(测试结果!B2:B25,"第三类·应转人工")</f>
        <v/>
      </c>
      <c r="D8" s="4">
        <f>COUNTIFS(测试结果!B2:B25,"第三类·应转人工",测试结果!F2:F25,"通过")</f>
        <v/>
      </c>
      <c r="E8" s="26">
        <f>IFERROR(D8/C8,"-")</f>
        <v/>
      </c>
    </row>
    <row r="9">
      <c r="B9" s="6" t="inlineStr">
        <is>
          <t>总计</t>
        </is>
      </c>
      <c r="C9" s="6">
        <f>SUM(C6:C8)</f>
        <v/>
      </c>
      <c r="D9" s="6">
        <f>SUM(D6:D8)</f>
        <v/>
      </c>
      <c r="E9" s="27">
        <f>IFERROR(D9/C9,"-")</f>
        <v/>
      </c>
    </row>
    <row r="10"/>
    <row r="11"/>
    <row r="12">
      <c r="B12" s="8" t="inlineStr">
        <is>
          <t>重点关注：「第二类·知识库覆盖不到」通过率必须达到100%，这是防幻觉的底线指标。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2026-07-21T16:28:00Z</dcterms:created>
  <dcterms:modified xmlns:dcterms="http://purl.org/dc/terms/" xmlns:xsi="http://www.w3.org/2001/XMLSchema-instance" xsi:type="dcterms:W3CDTF">2026-08-17T07:23:33Z</dcterms:modified>
  <cp:lastModifiedBy>UY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81BF68C001D7F8155C2E5F6ADF1F9EBE_42</vt:lpwstr>
  </property>
  <property name="KSOProductBuildVer" fmtid="{D5CDD505-2E9C-101B-9397-08002B2CF9AE}" pid="3">
    <vt:lpwstr xmlns:vt="http://schemas.openxmlformats.org/officeDocument/2006/docPropsVTypes">1033-12.1.26016.26016</vt:lpwstr>
  </property>
  <property name="CalculationRule" fmtid="{D5CDD505-2E9C-101B-9397-08002B2CF9AE}" pid="4">
    <vt:i4 xmlns:vt="http://schemas.openxmlformats.org/officeDocument/2006/docPropsVTypes">0</vt:i4>
  </property>
</Properties>
</file>